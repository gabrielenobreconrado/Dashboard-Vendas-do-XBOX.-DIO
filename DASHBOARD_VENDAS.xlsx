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26\Desktop\"/>
    </mc:Choice>
  </mc:AlternateContent>
  <xr:revisionPtr revIDLastSave="0" documentId="8_{4D31A2F8-4A7D-4F2B-A81D-48C84A30678D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25" i="3"/>
</calcChain>
</file>

<file path=xl/sharedStrings.xml><?xml version="1.0" encoding="utf-8"?>
<sst xmlns="http://schemas.openxmlformats.org/spreadsheetml/2006/main" count="2020" uniqueCount="323">
  <si>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</si>
  <si>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</si>
  <si>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</si>
  <si>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</si>
  <si>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</si>
  <si>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</si>
  <si>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</si>
  <si>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</si>
  <si>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</si>
  <si>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</si>
  <si>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</si>
  <si>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</si>
  <si>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</si>
  <si>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</si>
  <si>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</si>
  <si>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</si>
  <si>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</si>
  <si>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</si>
  <si>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</si>
  <si>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</si>
  <si>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</si>
  <si>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</si>
  <si>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</si>
  <si>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</si>
  <si>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</si>
  <si>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</si>
  <si>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</si>
  <si>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</si>
  <si>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</si>
  <si>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</si>
  <si>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</si>
  <si>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</si>
  <si>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</si>
  <si>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</si>
  <si>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</si>
  <si>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</si>
  <si>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</si>
  <si>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</si>
  <si>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</si>
  <si>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</si>
  <si>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</si>
  <si>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</si>
  <si>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</si>
  <si>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</si>
  <si>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</si>
  <si>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</si>
  <si>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</si>
  <si>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</si>
  <si>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</si>
  <si>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</si>
  <si>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</si>
  <si>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</si>
  <si>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</si>
  <si>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</si>
  <si>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</si>
  <si>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</si>
  <si>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</si>
  <si>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</si>
  <si>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</si>
  <si>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</si>
  <si>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</si>
  <si>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</si>
  <si>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</si>
  <si>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</si>
  <si>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</si>
  <si>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</si>
  <si>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</si>
  <si>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</si>
  <si>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</si>
  <si>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</si>
  <si>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</si>
  <si>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</si>
  <si>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</si>
  <si>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</si>
  <si>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</si>
  <si>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</si>
  <si>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</si>
  <si>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</si>
  <si>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</si>
  <si>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</si>
  <si>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</si>
  <si>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</si>
  <si>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</si>
  <si>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</si>
  <si>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</si>
  <si>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</si>
  <si>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</si>
  <si>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</si>
  <si>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</si>
  <si>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</si>
  <si>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</si>
  <si>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</si>
  <si>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</si>
  <si>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</si>
  <si>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</si>
  <si>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</si>
  <si>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</si>
  <si>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</si>
  <si>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</si>
  <si>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</si>
  <si>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</si>
  <si>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</si>
  <si>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</si>
  <si>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</si>
  <si>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</si>
  <si>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</si>
  <si>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</si>
  <si>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</si>
  <si>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</si>
  <si>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</si>
  <si>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</si>
  <si>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</si>
  <si>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</si>
  <si>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</si>
  <si>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</si>
  <si>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</si>
  <si>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</si>
  <si>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</si>
  <si>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</si>
  <si>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</si>
  <si>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</si>
  <si>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</si>
  <si>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</si>
  <si>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</si>
  <si>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</si>
  <si>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</si>
  <si>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</si>
  <si>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</si>
  <si>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</si>
  <si>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</si>
  <si>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</si>
  <si>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</si>
  <si>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</si>
  <si>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</si>
  <si>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</si>
  <si>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</si>
  <si>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</si>
  <si>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</si>
  <si>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</si>
  <si>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</si>
  <si>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</si>
  <si>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</si>
  <si>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</si>
  <si>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</si>
  <si>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</si>
  <si>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</si>
  <si>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</si>
  <si>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</si>
  <si>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</si>
  <si>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</si>
  <si>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</si>
  <si>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</si>
  <si>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</si>
  <si>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</si>
  <si>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</si>
  <si>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</si>
  <si>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</si>
  <si>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</si>
  <si>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</si>
  <si>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</si>
  <si>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</si>
  <si>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</si>
  <si>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</si>
  <si>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</si>
  <si>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</si>
  <si>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</si>
  <si>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</si>
  <si>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</si>
  <si>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</si>
  <si>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</si>
  <si>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</si>
  <si>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</si>
  <si>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</si>
  <si>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</si>
  <si>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</si>
  <si>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</si>
  <si>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</si>
  <si>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</si>
  <si>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</si>
  <si>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</si>
  <si>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</si>
  <si>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</si>
  <si>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</si>
  <si>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</si>
  <si>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</si>
  <si>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</si>
  <si>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</si>
  <si>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</si>
  <si>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</si>
  <si>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</si>
  <si>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</si>
  <si>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</si>
  <si>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</si>
  <si>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</si>
  <si>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</si>
  <si>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</si>
  <si>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</si>
  <si>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</si>
  <si>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</si>
  <si>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</si>
  <si>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</si>
  <si>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</si>
  <si>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</si>
  <si>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</si>
  <si>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</si>
  <si>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</si>
  <si>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</si>
  <si>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</si>
  <si>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</si>
  <si>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</si>
  <si>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</si>
  <si>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</si>
  <si>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</si>
  <si>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</si>
  <si>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</si>
  <si>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</si>
  <si>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</si>
  <si>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</si>
  <si>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</si>
  <si>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</si>
  <si>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</si>
  <si>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</si>
  <si>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</si>
  <si>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</si>
  <si>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</si>
  <si>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</si>
  <si>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</si>
  <si>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</si>
  <si>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</si>
  <si>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</si>
  <si>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</si>
  <si>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</si>
  <si>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</si>
  <si>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</si>
  <si>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</si>
  <si>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</si>
  <si>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</si>
  <si>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</si>
  <si>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</si>
  <si>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</si>
  <si>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</si>
  <si>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</si>
  <si>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</si>
  <si>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</si>
  <si>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</si>
  <si>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</si>
  <si>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</si>
  <si>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</si>
  <si>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</si>
  <si>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</si>
  <si>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</si>
  <si>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</si>
  <si>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</si>
  <si>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</si>
  <si>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</si>
  <si>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</si>
  <si>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</si>
  <si>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</si>
  <si>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</si>
  <si>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</si>
  <si>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</si>
  <si>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</si>
  <si>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</si>
  <si>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</si>
  <si>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</si>
  <si>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</si>
  <si>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</si>
  <si>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</si>
  <si>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</si>
  <si>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</si>
  <si>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</si>
  <si>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</si>
  <si>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</si>
  <si>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</si>
  <si>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</si>
  <si>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</si>
  <si>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</si>
  <si>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</si>
  <si>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</si>
  <si>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</si>
  <si>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</si>
  <si>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</si>
  <si>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</si>
  <si>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</si>
  <si>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</si>
  <si>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</si>
  <si>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</si>
  <si>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</si>
  <si>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</si>
  <si>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</si>
  <si>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</si>
  <si>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</si>
  <si>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</si>
  <si>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</si>
  <si>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</si>
  <si>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</si>
  <si>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</si>
  <si>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</si>
  <si>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</si>
  <si>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</si>
  <si>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</si>
  <si>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</si>
  <si>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</si>
  <si>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</si>
  <si>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</si>
  <si>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</si>
  <si>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</si>
  <si>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</si>
  <si>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</si>
  <si>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</si>
  <si>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</si>
  <si>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</si>
  <si>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</si>
  <si>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1. Qual o faturamento Total de Vendas de planos anuais (contendo todas as assinaturas agregadas)?</t>
  </si>
  <si>
    <t>Rótulos de Linha</t>
  </si>
  <si>
    <t>Total Geral</t>
  </si>
  <si>
    <t>Soma de Total Value</t>
  </si>
  <si>
    <t>2. Qual o total de vendas de planos anuais separado por auto renovação e quais não são por auto renovação?</t>
  </si>
  <si>
    <t>XBOX GAME PASS SUBSCRIPTION SALES</t>
  </si>
  <si>
    <t>2. Total de vendas de assinaturas do EA Play?</t>
  </si>
  <si>
    <t>Soma de EA Play Season Pass</t>
  </si>
  <si>
    <t>3. Total de vendas de assinaturas do Minecraft Season Pass?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</si>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</sst>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3" fillId="0" borderId="0" xfId="0" applyFont="1"/>
    <xf numFmtId="0" fontId="5" fillId="0" borderId="2" xfId="1" applyFont="1" applyBorder="1"/>
    <xf numFmtId="0" fontId="1" fillId="0" borderId="2" xfId="1" applyBorder="1"/>
    <xf numFmtId="0" fontId="0" fillId="0" borderId="0" xfId="0" applyNumberFormat="1"/>
    <xf numFmtId="44" fontId="4" fillId="8" borderId="0" xfId="2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54A3B1E8-69D6-441C-B442-CAC5A27D87DE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[DASHBOARD_VENDAS.xlsx]C̳álculos!Tabela dinâmica2</c:name>
    <c:fmtId val="9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575721791386292E-2"/>
          <c:y val="0"/>
          <c:w val="0.9488846561270271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A-41AA-B3A0-3136D998F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4162256"/>
        <c:axId val="1234163696"/>
      </c:barChart>
      <c:catAx>
        <c:axId val="1234162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4163696"/>
        <c:crosses val="autoZero"/>
        <c:auto val="1"/>
        <c:lblAlgn val="ctr"/>
        <c:lblOffset val="100"/>
        <c:noMultiLvlLbl val="0"/>
      </c:catAx>
      <c:valAx>
        <c:axId val="12341636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3416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image" Target="../media/image9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9.svg"/><Relationship Id="rId5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112182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112182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5</xdr:row>
      <xdr:rowOff>0</xdr:rowOff>
    </xdr:from>
    <xdr:to>
      <xdr:col>9</xdr:col>
      <xdr:colOff>390525</xdr:colOff>
      <xdr:row>15</xdr:row>
      <xdr:rowOff>19050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6824F8D2-EC84-B361-93CA-C64CDD6DF2C1}"/>
            </a:ext>
          </a:extLst>
        </xdr:cNvPr>
        <xdr:cNvGrpSpPr/>
      </xdr:nvGrpSpPr>
      <xdr:grpSpPr>
        <a:xfrm>
          <a:off x="2190750" y="998220"/>
          <a:ext cx="4692015" cy="1969770"/>
          <a:chOff x="2190750" y="1000125"/>
          <a:chExt cx="4695825" cy="1962150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7D97B90-4993-4EE2-5A60-141D39A23DCC}"/>
              </a:ext>
            </a:extLst>
          </xdr:cNvPr>
          <xdr:cNvSpPr/>
        </xdr:nvSpPr>
        <xdr:spPr>
          <a:xfrm>
            <a:off x="2190750" y="1000125"/>
            <a:ext cx="4695825" cy="1962150"/>
          </a:xfrm>
          <a:prstGeom prst="roundRect">
            <a:avLst>
              <a:gd name="adj" fmla="val 964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E26D14BC-3B6E-D483-302D-E1365F3EB5EF}"/>
              </a:ext>
            </a:extLst>
          </xdr:cNvPr>
          <xdr:cNvSpPr/>
        </xdr:nvSpPr>
        <xdr:spPr>
          <a:xfrm>
            <a:off x="2190750" y="1000125"/>
            <a:ext cx="4686300" cy="2952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EA PALY SEANSONS PASS</a:t>
            </a:r>
            <a:endParaRPr lang="pt-BR" sz="1100" b="1"/>
          </a:p>
        </xdr:txBody>
      </xdr:sp>
    </xdr:grpSp>
    <xdr:clientData/>
  </xdr:twoCellAnchor>
  <xdr:twoCellAnchor editAs="oneCell">
    <xdr:from>
      <xdr:col>0</xdr:col>
      <xdr:colOff>276225</xdr:colOff>
      <xdr:row>0</xdr:row>
      <xdr:rowOff>95250</xdr:rowOff>
    </xdr:from>
    <xdr:to>
      <xdr:col>0</xdr:col>
      <xdr:colOff>838201</xdr:colOff>
      <xdr:row>2</xdr:row>
      <xdr:rowOff>235627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577A207-6042-499A-98A5-24421F9033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30" t="20948" r="73215" b="18828"/>
        <a:stretch>
          <a:fillRect/>
        </a:stretch>
      </xdr:blipFill>
      <xdr:spPr>
        <a:xfrm>
          <a:off x="276225" y="95250"/>
          <a:ext cx="561976" cy="63567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</xdr:row>
      <xdr:rowOff>285750</xdr:rowOff>
    </xdr:from>
    <xdr:to>
      <xdr:col>0</xdr:col>
      <xdr:colOff>1895475</xdr:colOff>
      <xdr:row>9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9931914F-CC16-4F7C-A9AD-0C85E6C3DE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781050"/>
              <a:ext cx="1847850" cy="1242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19051</xdr:colOff>
      <xdr:row>17</xdr:row>
      <xdr:rowOff>0</xdr:rowOff>
    </xdr:from>
    <xdr:to>
      <xdr:col>18</xdr:col>
      <xdr:colOff>504825</xdr:colOff>
      <xdr:row>33</xdr:row>
      <xdr:rowOff>154304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315ACAD8-E14F-F780-413B-6A450E19B28C}"/>
            </a:ext>
          </a:extLst>
        </xdr:cNvPr>
        <xdr:cNvGrpSpPr/>
      </xdr:nvGrpSpPr>
      <xdr:grpSpPr>
        <a:xfrm>
          <a:off x="2244091" y="3314700"/>
          <a:ext cx="10079354" cy="3080384"/>
          <a:chOff x="1441930" y="1381125"/>
          <a:chExt cx="4804254" cy="3049904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0BA2725-4D57-6251-D2BB-0ADDF926FB88}"/>
              </a:ext>
            </a:extLst>
          </xdr:cNvPr>
          <xdr:cNvSpPr/>
        </xdr:nvSpPr>
        <xdr:spPr>
          <a:xfrm>
            <a:off x="1441930" y="1381125"/>
            <a:ext cx="4804254" cy="2847975"/>
          </a:xfrm>
          <a:prstGeom prst="roundRect">
            <a:avLst>
              <a:gd name="adj" fmla="val 964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D46A6C67-2C39-44C2-BE8B-A6A5E3B1DFD7}"/>
              </a:ext>
            </a:extLst>
          </xdr:cNvPr>
          <xdr:cNvGraphicFramePr>
            <a:graphicFrameLocks/>
          </xdr:cNvGraphicFramePr>
        </xdr:nvGraphicFramePr>
        <xdr:xfrm>
          <a:off x="1637857" y="1687829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180975</xdr:colOff>
      <xdr:row>8</xdr:row>
      <xdr:rowOff>66676</xdr:rowOff>
    </xdr:from>
    <xdr:to>
      <xdr:col>9</xdr:col>
      <xdr:colOff>171450</xdr:colOff>
      <xdr:row>13</xdr:row>
      <xdr:rowOff>133350</xdr:rowOff>
    </xdr:to>
    <xdr:sp macro="" textlink="C̳álculos!E25">
      <xdr:nvSpPr>
        <xdr:cNvPr id="15" name="Retângulo: Cantos Arredondados 14">
          <a:extLst>
            <a:ext uri="{FF2B5EF4-FFF2-40B4-BE49-F238E27FC236}">
              <a16:creationId xmlns:a16="http://schemas.microsoft.com/office/drawing/2014/main" id="{8CA6A828-B6F4-47FF-AD95-CD4D2A694C0D}"/>
            </a:ext>
          </a:extLst>
        </xdr:cNvPr>
        <xdr:cNvSpPr/>
      </xdr:nvSpPr>
      <xdr:spPr>
        <a:xfrm>
          <a:off x="2409825" y="1743076"/>
          <a:ext cx="4257675" cy="971549"/>
        </a:xfrm>
        <a:prstGeom prst="roundRect">
          <a:avLst>
            <a:gd name="adj" fmla="val 9644"/>
          </a:avLst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6D795A7-9B1C-43E2-8EDA-F375323FC03A}" type="TxLink">
            <a:rPr lang="en-US" sz="4800" b="1" i="0" u="none" strike="noStrike">
              <a:solidFill>
                <a:schemeClr val="bg1"/>
              </a:solidFill>
              <a:latin typeface="Aptos Narrow"/>
            </a:rPr>
            <a:pPr algn="ctr"/>
            <a:t> R$ 2.940,00 </a:t>
          </a:fld>
          <a:endParaRPr lang="pt-BR" sz="4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142875</xdr:colOff>
      <xdr:row>4</xdr:row>
      <xdr:rowOff>47625</xdr:rowOff>
    </xdr:from>
    <xdr:to>
      <xdr:col>4</xdr:col>
      <xdr:colOff>142875</xdr:colOff>
      <xdr:row>10</xdr:row>
      <xdr:rowOff>80010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12584463-EE8C-4CFF-B390-4C44D4573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952500"/>
          <a:ext cx="1219200" cy="1165860"/>
        </a:xfrm>
        <a:prstGeom prst="rect">
          <a:avLst/>
        </a:prstGeom>
      </xdr:spPr>
    </xdr:pic>
    <xdr:clientData/>
  </xdr:twoCellAnchor>
  <xdr:twoCellAnchor>
    <xdr:from>
      <xdr:col>10</xdr:col>
      <xdr:colOff>447675</xdr:colOff>
      <xdr:row>5</xdr:row>
      <xdr:rowOff>0</xdr:rowOff>
    </xdr:from>
    <xdr:to>
      <xdr:col>18</xdr:col>
      <xdr:colOff>428625</xdr:colOff>
      <xdr:row>15</xdr:row>
      <xdr:rowOff>19050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AC7F917A-554F-4C74-81EB-04F4D8B3768B}"/>
            </a:ext>
          </a:extLst>
        </xdr:cNvPr>
        <xdr:cNvGrpSpPr/>
      </xdr:nvGrpSpPr>
      <xdr:grpSpPr>
        <a:xfrm>
          <a:off x="7549515" y="998220"/>
          <a:ext cx="4697730" cy="1969770"/>
          <a:chOff x="2190750" y="1000125"/>
          <a:chExt cx="4695825" cy="1962150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B427B0FF-FB4A-1C7C-7A01-05CC79665E96}"/>
              </a:ext>
            </a:extLst>
          </xdr:cNvPr>
          <xdr:cNvSpPr/>
        </xdr:nvSpPr>
        <xdr:spPr>
          <a:xfrm>
            <a:off x="2190750" y="1000125"/>
            <a:ext cx="4695825" cy="1962150"/>
          </a:xfrm>
          <a:prstGeom prst="roundRect">
            <a:avLst>
              <a:gd name="adj" fmla="val 964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52E4C456-F00A-8751-0A16-8751D67C10A8}"/>
              </a:ext>
            </a:extLst>
          </xdr:cNvPr>
          <xdr:cNvSpPr/>
        </xdr:nvSpPr>
        <xdr:spPr>
          <a:xfrm>
            <a:off x="2190750" y="1000125"/>
            <a:ext cx="4686300" cy="2952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EA PALY SEANSONS PASS</a:t>
            </a:r>
            <a:endParaRPr lang="pt-BR" sz="1100" b="1"/>
          </a:p>
        </xdr:txBody>
      </xdr:sp>
    </xdr:grpSp>
    <xdr:clientData/>
  </xdr:twoCellAnchor>
  <xdr:twoCellAnchor>
    <xdr:from>
      <xdr:col>11</xdr:col>
      <xdr:colOff>85725</xdr:colOff>
      <xdr:row>8</xdr:row>
      <xdr:rowOff>66676</xdr:rowOff>
    </xdr:from>
    <xdr:to>
      <xdr:col>18</xdr:col>
      <xdr:colOff>238125</xdr:colOff>
      <xdr:row>13</xdr:row>
      <xdr:rowOff>133350</xdr:rowOff>
    </xdr:to>
    <xdr:sp macro="" textlink="C̳álculos!E34">
      <xdr:nvSpPr>
        <xdr:cNvPr id="22" name="Retângulo: Cantos Arredondados 21">
          <a:extLst>
            <a:ext uri="{FF2B5EF4-FFF2-40B4-BE49-F238E27FC236}">
              <a16:creationId xmlns:a16="http://schemas.microsoft.com/office/drawing/2014/main" id="{B887C838-C758-4B17-B505-746D951961F1}"/>
            </a:ext>
          </a:extLst>
        </xdr:cNvPr>
        <xdr:cNvSpPr/>
      </xdr:nvSpPr>
      <xdr:spPr>
        <a:xfrm>
          <a:off x="7800975" y="1743076"/>
          <a:ext cx="4257675" cy="971549"/>
        </a:xfrm>
        <a:prstGeom prst="roundRect">
          <a:avLst>
            <a:gd name="adj" fmla="val 9644"/>
          </a:avLst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6891A8A-4137-43A6-A70C-6436ABE4D71C}" type="TxLink">
            <a:rPr lang="en-US" sz="4800" b="1" i="0" u="none" strike="noStrike">
              <a:solidFill>
                <a:srgbClr val="FFFFFF"/>
              </a:solidFill>
              <a:latin typeface="Aptos Narrow"/>
            </a:rPr>
            <a:t> R$ 3.880,00 </a:t>
          </a:fld>
          <a:endParaRPr lang="pt-BR" sz="48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11</xdr:col>
      <xdr:colOff>66675</xdr:colOff>
      <xdr:row>7</xdr:row>
      <xdr:rowOff>9526</xdr:rowOff>
    </xdr:from>
    <xdr:to>
      <xdr:col>12</xdr:col>
      <xdr:colOff>590550</xdr:colOff>
      <xdr:row>8</xdr:row>
      <xdr:rowOff>28576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010F4E66-A398-4675-B3CC-63081A23370E}"/>
            </a:ext>
          </a:extLst>
        </xdr:cNvPr>
        <xdr:cNvGrpSpPr/>
      </xdr:nvGrpSpPr>
      <xdr:grpSpPr>
        <a:xfrm>
          <a:off x="7778115" y="1259206"/>
          <a:ext cx="973455" cy="438150"/>
          <a:chOff x="3495675" y="5400674"/>
          <a:chExt cx="1549476" cy="752476"/>
        </a:xfrm>
      </xdr:grpSpPr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6A2270E2-7109-29F0-A977-F492DE97D5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5" name="Gráfico 24">
            <a:extLst>
              <a:ext uri="{FF2B5EF4-FFF2-40B4-BE49-F238E27FC236}">
                <a16:creationId xmlns:a16="http://schemas.microsoft.com/office/drawing/2014/main" id="{CB4DE320-65FF-FD59-5303-C8243B3056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38101</xdr:colOff>
      <xdr:row>16</xdr:row>
      <xdr:rowOff>161925</xdr:rowOff>
    </xdr:from>
    <xdr:to>
      <xdr:col>18</xdr:col>
      <xdr:colOff>485776</xdr:colOff>
      <xdr:row>18</xdr:row>
      <xdr:rowOff>114300</xdr:rowOff>
    </xdr:to>
    <xdr:sp macro="" textlink="">
      <xdr:nvSpPr>
        <xdr:cNvPr id="26" name="Retângulo: Cantos Superiores Arredondados 25">
          <a:extLst>
            <a:ext uri="{FF2B5EF4-FFF2-40B4-BE49-F238E27FC236}">
              <a16:creationId xmlns:a16="http://schemas.microsoft.com/office/drawing/2014/main" id="{7241103F-41BB-F89B-3B74-00785589753E}"/>
            </a:ext>
          </a:extLst>
        </xdr:cNvPr>
        <xdr:cNvSpPr/>
      </xdr:nvSpPr>
      <xdr:spPr>
        <a:xfrm>
          <a:off x="2266951" y="3286125"/>
          <a:ext cx="10039350" cy="31432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TOTAL</a:t>
          </a:r>
          <a:r>
            <a:rPr lang="pt-BR" sz="1100" b="1" baseline="0"/>
            <a:t> SUBSCRIPTIONS XBOX GAME PASS</a:t>
          </a:r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126 Gabriele Nobre" refreshedDate="46068.716011111108" createdVersion="8" refreshedVersion="8" minRefreshableVersion="3" recordCount="295" xr:uid="{01E1966B-5704-43E4-8F90-3A436630B6A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035592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051A4-CA35-49B8-9D8C-FFC6F479E28C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30:C34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44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6CFCA-FEC5-46E4-8B43-591635E962B1}" name="tbl_easean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21:C25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8" baseField="2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B62E3-9932-48C3-969A-8FB39A9FEEA0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13:C16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F0C8A-BE9F-41F7-AA06-6D47A467EB35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C7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showAll="0">
      <items count="4">
        <item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3">
    <i>
      <x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F02C634-5CF1-4678-87CF-D9A54B4049D1}" sourceName="Subscription Type">
  <pivotTables>
    <pivotTable tabId="3" name="Tabela dinâmica2"/>
    <pivotTable tabId="3" name="tbl_easeansonpass_total"/>
    <pivotTable tabId="3" name="Tabela dinâmica4"/>
  </pivotTables>
  <data>
    <tabular pivotCacheId="100355921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303B51F-D4CA-449F-885F-806A1F5488FA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showGridLines="0" topLeftCell="A2" zoomScale="90" zoomScaleNormal="90" workbookViewId="0"/>
  </sheetViews>
  <sheetFormatPr defaultRowHeight="14.4" x14ac:dyDescent="0.3"/>
  <cols>
    <col min="1" max="1" width="17.88671875" bestFit="1" customWidth="1"/>
    <col min="2" max="2" width="18.21875" bestFit="1" customWidth="1"/>
    <col min="3" max="3" width="9.88671875" bestFit="1" customWidth="1"/>
    <col min="4" max="4" width="14.5546875" bestFit="1" customWidth="1"/>
    <col min="5" max="5" width="18" bestFit="1" customWidth="1"/>
    <col min="6" max="6" width="22" bestFit="1" customWidth="1"/>
    <col min="7" max="7" width="21.6640625" bestFit="1" customWidth="1"/>
    <col min="8" max="9" width="23.6640625" bestFit="1" customWidth="1"/>
    <col min="10" max="10" width="25.6640625" bestFit="1" customWidth="1"/>
    <col min="11" max="11" width="30.5546875" bestFit="1" customWidth="1"/>
    <col min="12" max="12" width="18.21875" bestFit="1" customWidth="1"/>
    <col min="13" max="13" width="15.664062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4"/>
  <sheetViews>
    <sheetView showGridLines="0" topLeftCell="A22" workbookViewId="0">
      <selection activeCell="D42" sqref="D42"/>
    </sheetView>
  </sheetViews>
  <sheetFormatPr defaultRowHeight="14.4" x14ac:dyDescent="0.3"/>
  <cols>
    <col min="2" max="2" width="16.33203125" bestFit="1" customWidth="1"/>
    <col min="3" max="3" width="31.44140625" bestFit="1" customWidth="1"/>
    <col min="4" max="4" width="30.5546875" bestFit="1" customWidth="1"/>
    <col min="5" max="5" width="11.8867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3" x14ac:dyDescent="0.3">
      <c r="B2" s="15" t="s">
        <v>313</v>
      </c>
    </row>
    <row r="4" spans="2:3" x14ac:dyDescent="0.3">
      <c r="B4" s="12" t="s">
        <v>314</v>
      </c>
      <c r="C4" t="s">
        <v>316</v>
      </c>
    </row>
    <row r="5" spans="2:3" x14ac:dyDescent="0.3">
      <c r="B5" s="13" t="s">
        <v>24</v>
      </c>
      <c r="C5" s="14">
        <v>1754</v>
      </c>
    </row>
    <row r="6" spans="2:3" x14ac:dyDescent="0.3">
      <c r="B6" s="13" t="s">
        <v>27</v>
      </c>
      <c r="C6" s="14">
        <v>2308</v>
      </c>
    </row>
    <row r="7" spans="2:3" x14ac:dyDescent="0.3">
      <c r="B7" s="13" t="s">
        <v>315</v>
      </c>
      <c r="C7" s="14">
        <v>4062</v>
      </c>
    </row>
    <row r="11" spans="2:3" x14ac:dyDescent="0.3">
      <c r="B11" s="15" t="s">
        <v>317</v>
      </c>
    </row>
    <row r="13" spans="2:3" x14ac:dyDescent="0.3">
      <c r="B13" s="12" t="s">
        <v>314</v>
      </c>
      <c r="C13" t="s">
        <v>316</v>
      </c>
    </row>
    <row r="14" spans="2:3" x14ac:dyDescent="0.3">
      <c r="B14" s="13" t="s">
        <v>23</v>
      </c>
      <c r="C14" s="14">
        <v>3847</v>
      </c>
    </row>
    <row r="15" spans="2:3" x14ac:dyDescent="0.3">
      <c r="B15" s="13" t="s">
        <v>19</v>
      </c>
      <c r="C15" s="14">
        <v>3786</v>
      </c>
    </row>
    <row r="16" spans="2:3" x14ac:dyDescent="0.3">
      <c r="B16" s="13" t="s">
        <v>315</v>
      </c>
      <c r="C16" s="14">
        <v>7633</v>
      </c>
    </row>
    <row r="19" spans="2:5" x14ac:dyDescent="0.3">
      <c r="B19" s="15" t="s">
        <v>319</v>
      </c>
    </row>
    <row r="21" spans="2:5" x14ac:dyDescent="0.3">
      <c r="B21" s="12" t="s">
        <v>314</v>
      </c>
      <c r="C21" t="s">
        <v>320</v>
      </c>
    </row>
    <row r="22" spans="2:5" x14ac:dyDescent="0.3">
      <c r="B22" s="13" t="s">
        <v>22</v>
      </c>
      <c r="C22" s="18">
        <v>0</v>
      </c>
    </row>
    <row r="23" spans="2:5" x14ac:dyDescent="0.3">
      <c r="B23" s="13" t="s">
        <v>26</v>
      </c>
      <c r="C23" s="18">
        <v>0</v>
      </c>
    </row>
    <row r="24" spans="2:5" x14ac:dyDescent="0.3">
      <c r="B24" s="13" t="s">
        <v>18</v>
      </c>
      <c r="C24" s="18">
        <v>2940</v>
      </c>
    </row>
    <row r="25" spans="2:5" x14ac:dyDescent="0.3">
      <c r="B25" s="13" t="s">
        <v>315</v>
      </c>
      <c r="C25" s="18">
        <v>2940</v>
      </c>
      <c r="E25" s="19">
        <f>GETPIVOTDATA("EA Play Season Pass
Price",$B$21)</f>
        <v>2940</v>
      </c>
    </row>
    <row r="28" spans="2:5" x14ac:dyDescent="0.3">
      <c r="B28" s="15" t="s">
        <v>321</v>
      </c>
    </row>
    <row r="30" spans="2:5" x14ac:dyDescent="0.3">
      <c r="B30" s="12" t="s">
        <v>314</v>
      </c>
      <c r="C30" t="s">
        <v>322</v>
      </c>
    </row>
    <row r="31" spans="2:5" x14ac:dyDescent="0.3">
      <c r="B31" s="13" t="s">
        <v>22</v>
      </c>
      <c r="C31" s="14">
        <v>0</v>
      </c>
    </row>
    <row r="32" spans="2:5" x14ac:dyDescent="0.3">
      <c r="B32" s="13" t="s">
        <v>26</v>
      </c>
      <c r="C32" s="14">
        <v>1920</v>
      </c>
    </row>
    <row r="33" spans="2:5" x14ac:dyDescent="0.3">
      <c r="B33" s="13" t="s">
        <v>18</v>
      </c>
      <c r="C33" s="14">
        <v>1960</v>
      </c>
    </row>
    <row r="34" spans="2:5" x14ac:dyDescent="0.3">
      <c r="B34" s="13" t="s">
        <v>315</v>
      </c>
      <c r="C34" s="14">
        <v>3880</v>
      </c>
      <c r="E34" s="19">
        <f>GETPIVOTDATA("Minecraft Season Pass Price",$B$30)</f>
        <v>3880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34"/>
  <sheetViews>
    <sheetView showGridLines="0" showRowColHeaders="0" tabSelected="1" zoomScaleNormal="100" workbookViewId="0">
      <selection activeCell="A35" sqref="A35:XFD104857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1" width="28.88671875" style="4" customWidth="1"/>
    <col min="2" max="2" width="3.5546875" style="7" customWidth="1"/>
    <col min="3" max="11" width="8.88671875" style="7" customWidth="1"/>
    <col min="12" max="12" width="6.5546875" style="7" customWidth="1"/>
    <col min="13" max="20" width="8.88671875" style="7" customWidth="1"/>
    <col min="21" max="16384" width="8.88671875" style="7" hidden="1"/>
  </cols>
  <sheetData>
    <row r="1" spans="1:17" customFormat="1" x14ac:dyDescent="0.3">
      <c r="A1" s="4"/>
    </row>
    <row r="2" spans="1:17" customFormat="1" ht="24.6" customHeight="1" thickBot="1" x14ac:dyDescent="0.6">
      <c r="A2" s="4"/>
      <c r="C2" s="16" t="s">
        <v>318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customFormat="1" ht="24.6" customHeight="1" thickTop="1" x14ac:dyDescent="0.3">
      <c r="A3" s="4"/>
    </row>
    <row r="4" spans="1:17" ht="8.25" customHeight="1" x14ac:dyDescent="0.3"/>
    <row r="5" spans="1:17" ht="7.5" customHeight="1" x14ac:dyDescent="0.3"/>
    <row r="6" spans="1:17" ht="10.5" customHeight="1" x14ac:dyDescent="0.3"/>
    <row r="7" spans="1:17" ht="9.75" customHeight="1" x14ac:dyDescent="0.3"/>
    <row r="8" spans="1:17" ht="33" customHeight="1" x14ac:dyDescent="0.3"/>
    <row r="9" spans="1:17" x14ac:dyDescent="0.3"/>
    <row r="10" spans="1:17" x14ac:dyDescent="0.3"/>
    <row r="11" spans="1:17" x14ac:dyDescent="0.3"/>
    <row r="12" spans="1:17" x14ac:dyDescent="0.3"/>
    <row r="13" spans="1:17" x14ac:dyDescent="0.3"/>
    <row r="14" spans="1:17" x14ac:dyDescent="0.3"/>
    <row r="15" spans="1:17" x14ac:dyDescent="0.3"/>
    <row r="16" spans="1:17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Gabriele Nobre</cp:lastModifiedBy>
  <dcterms:created xsi:type="dcterms:W3CDTF">2024-12-19T13:13:10Z</dcterms:created>
  <dcterms:modified xsi:type="dcterms:W3CDTF">2026-02-15T21:27:11Z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